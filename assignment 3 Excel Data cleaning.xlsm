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08" yWindow="-108" windowWidth="23256" windowHeight="12456"/>
  </bookViews>
  <sheets>
    <sheet name="Unmessenger" sheetId="1" r:id="rId1"/>
  </sheets>
  <calcPr calcId="145621"/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L24" i="1"/>
  <c r="I29" i="1"/>
  <c r="L23" i="1"/>
  <c r="K48" i="1"/>
  <c r="I40" i="1"/>
  <c r="I9" i="1"/>
  <c r="K47" i="1"/>
  <c r="K43" i="1"/>
  <c r="K39" i="1"/>
  <c r="L27" i="1"/>
  <c r="L42" i="1"/>
  <c r="I18" i="1"/>
  <c r="I41" i="1"/>
  <c r="K16" i="1"/>
  <c r="L11" i="1"/>
  <c r="I22" i="1"/>
  <c r="I19" i="1"/>
  <c r="I45" i="1"/>
  <c r="L38" i="1"/>
  <c r="K11" i="1"/>
  <c r="K18" i="1"/>
  <c r="L29" i="1"/>
  <c r="L52" i="1"/>
  <c r="K24" i="1"/>
  <c r="L15" i="1"/>
  <c r="L50" i="1"/>
  <c r="K14" i="1"/>
  <c r="I33" i="1"/>
  <c r="I53" i="1"/>
  <c r="K50" i="1"/>
  <c r="I37" i="1"/>
  <c r="L41" i="1"/>
  <c r="I21" i="1"/>
  <c r="L48" i="1"/>
  <c r="I50" i="1"/>
  <c r="K9" i="1"/>
  <c r="I52" i="1"/>
  <c r="I48" i="1"/>
  <c r="L54" i="1"/>
  <c r="L21" i="1"/>
  <c r="L49" i="1"/>
  <c r="L43" i="1"/>
  <c r="K37" i="1"/>
  <c r="K55" i="1"/>
  <c r="L9" i="1"/>
  <c r="I11" i="1"/>
  <c r="K23" i="1"/>
  <c r="K13" i="1"/>
  <c r="I31" i="1"/>
  <c r="K17" i="1"/>
  <c r="I55" i="1"/>
  <c r="I27" i="1"/>
  <c r="K49" i="1"/>
  <c r="I46" i="1"/>
  <c r="L55" i="1"/>
  <c r="I12" i="1"/>
  <c r="K32" i="1"/>
  <c r="K33" i="1"/>
  <c r="I10" i="1"/>
  <c r="K30" i="1"/>
  <c r="I42" i="1"/>
  <c r="K29" i="1"/>
  <c r="L53" i="1"/>
  <c r="K40" i="1"/>
  <c r="L46" i="1"/>
  <c r="L34" i="1"/>
  <c r="K21" i="1"/>
  <c r="K53" i="1"/>
  <c r="K41" i="1"/>
  <c r="K15" i="1"/>
  <c r="K12" i="1"/>
  <c r="I26" i="1"/>
  <c r="L30" i="1"/>
  <c r="L37" i="1"/>
  <c r="L20" i="1"/>
  <c r="L28" i="1"/>
  <c r="I47" i="1"/>
  <c r="I43" i="1"/>
  <c r="K45" i="1"/>
  <c r="I24" i="1"/>
  <c r="K20" i="1"/>
  <c r="I16" i="1"/>
  <c r="L39" i="1"/>
  <c r="K25" i="1"/>
  <c r="L14" i="1"/>
  <c r="I23" i="1"/>
  <c r="I49" i="1"/>
  <c r="L47" i="1"/>
  <c r="K27" i="1"/>
  <c r="K31" i="1"/>
  <c r="L8" i="1"/>
  <c r="I39" i="1"/>
  <c r="K54" i="1"/>
  <c r="K38" i="1"/>
  <c r="I35" i="1"/>
  <c r="K22" i="1"/>
  <c r="L31" i="1"/>
  <c r="L33" i="1"/>
  <c r="I13" i="1"/>
  <c r="L22" i="1"/>
  <c r="K34" i="1"/>
  <c r="I25" i="1"/>
  <c r="K46" i="1"/>
  <c r="I51" i="1"/>
  <c r="I36" i="1"/>
  <c r="K42" i="1"/>
  <c r="L44" i="1"/>
  <c r="I32" i="1"/>
  <c r="K35" i="1"/>
  <c r="L17" i="1"/>
  <c r="L32" i="1"/>
  <c r="K10" i="1"/>
  <c r="L40" i="1"/>
  <c r="L12" i="1"/>
  <c r="K28" i="1"/>
  <c r="L51" i="1"/>
  <c r="K19" i="1"/>
  <c r="I44" i="1"/>
  <c r="K51" i="1"/>
  <c r="L13" i="1"/>
  <c r="I38" i="1"/>
  <c r="L36" i="1"/>
  <c r="L19" i="1"/>
  <c r="I20" i="1"/>
  <c r="I8" i="1"/>
  <c r="L16" i="1"/>
  <c r="L25" i="1"/>
  <c r="L45" i="1"/>
  <c r="L35" i="1"/>
  <c r="L18" i="1"/>
  <c r="L10" i="1"/>
  <c r="K52" i="1"/>
  <c r="I30" i="1"/>
  <c r="I54" i="1"/>
  <c r="L26" i="1"/>
  <c r="K36" i="1"/>
  <c r="I15" i="1"/>
  <c r="K26" i="1"/>
  <c r="I34" i="1"/>
  <c r="I28" i="1"/>
  <c r="K44" i="1"/>
  <c r="I17" i="1"/>
  <c r="I14" i="1"/>
</calcChain>
</file>

<file path=xl/sharedStrings.xml><?xml version="1.0" encoding="utf-8"?>
<sst xmlns="http://schemas.openxmlformats.org/spreadsheetml/2006/main" count="103" uniqueCount="60">
  <si>
    <t>Name</t>
  </si>
  <si>
    <t>Id</t>
  </si>
  <si>
    <t>Age</t>
  </si>
  <si>
    <t>Gender</t>
  </si>
  <si>
    <t>Email</t>
  </si>
  <si>
    <t>Phone</t>
  </si>
  <si>
    <t>Address</t>
  </si>
  <si>
    <t>M</t>
  </si>
  <si>
    <t>rohit.sharma@gmail.com</t>
  </si>
  <si>
    <t>F</t>
  </si>
  <si>
    <t>deepika.singh@yahoo.com</t>
  </si>
  <si>
    <t>vikas.joshi@gmail.com</t>
  </si>
  <si>
    <t>nisha.verma@hotmail.com</t>
  </si>
  <si>
    <t>manoj.kumar@yahoo.com</t>
  </si>
  <si>
    <t>sanjay.gupta@gmail.com</t>
  </si>
  <si>
    <t>anjali.sharma@yahoo.com</t>
  </si>
  <si>
    <t>akash.patel@hotmail.com</t>
  </si>
  <si>
    <t>preeti.singh@gmail.com</t>
  </si>
  <si>
    <t>john.doe@gmail.com</t>
  </si>
  <si>
    <t>jane.smith@hotmail.com</t>
  </si>
  <si>
    <t>amit.patel@gmail.com</t>
  </si>
  <si>
    <t>priya.sharma@yahoo.com</t>
  </si>
  <si>
    <t>jane.doe@gmail.com</t>
  </si>
  <si>
    <t>rakesh.kumar@yahoo.com</t>
  </si>
  <si>
    <t>aman.verma@gmail.com</t>
  </si>
  <si>
    <t>neha.gupta@hotmail.com</t>
  </si>
  <si>
    <t>naveen.sharma@gmail.com</t>
  </si>
  <si>
    <t>vinita.kapoor@yahoo.com</t>
  </si>
  <si>
    <t>rajeev.kumar@hotmail.com</t>
  </si>
  <si>
    <t>swati.singh@gmail.com</t>
  </si>
  <si>
    <t>kavita.sharma@yahoo.com</t>
  </si>
  <si>
    <t>manish.patel@hotmail.com</t>
  </si>
  <si>
    <t>priyanka.jain@yahoo.com</t>
  </si>
  <si>
    <t>ravi.kumar@gmail.com</t>
  </si>
  <si>
    <t>swati.mishra@yahoo.com</t>
  </si>
  <si>
    <t>ankit.singh@hotmail.com</t>
  </si>
  <si>
    <t>neha.gupta@gmail.com</t>
  </si>
  <si>
    <t>rajeev.sharma@yahoo.com</t>
  </si>
  <si>
    <t>sarika.patel@hotmail.com</t>
  </si>
  <si>
    <t>vinay.singh@gmail.com</t>
  </si>
  <si>
    <t>priya.gupta@yahoo.com</t>
  </si>
  <si>
    <t>sushant.patel@hotmail.com</t>
  </si>
  <si>
    <t>payal.sharma@gmail.com</t>
  </si>
  <si>
    <t>mohit.verma@yahoo.com</t>
  </si>
  <si>
    <t>kavita.singh@hotmail.com</t>
  </si>
  <si>
    <t>ankit.patel@gmail.com</t>
  </si>
  <si>
    <t>pooja.mishra@yahoo.com</t>
  </si>
  <si>
    <t>mohan.kumar@gmail.com</t>
  </si>
  <si>
    <t>anjali.gupta@hotmail.com</t>
  </si>
  <si>
    <t>mukesh.sharma@yahoo.com</t>
  </si>
  <si>
    <t>arjun.singh@gmail.com</t>
  </si>
  <si>
    <t>divya.patel@yahoo.com</t>
  </si>
  <si>
    <t>gaurav.kumar@gmail.com</t>
  </si>
  <si>
    <t>aditi.shah@hotmail.com</t>
  </si>
  <si>
    <t>sandeep.singh@yahoo.com</t>
  </si>
  <si>
    <t>shalini.sharma@gmail.com</t>
  </si>
  <si>
    <t>Salary</t>
  </si>
  <si>
    <t>91-1234567890</t>
  </si>
  <si>
    <t>Department</t>
  </si>
  <si>
    <t>support@dataisgood.com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</si>
</sst>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1" fillId="2" borderId="0" xfId="0" applyFont="1" applyFill="1"/>
    <xf numFmtId="0" fontId="0" fillId="0" borderId="0" xfId="0" applyFont="1"/>
    <xf numFmtId="1" fontId="0" fillId="0" borderId="0" xfId="0" applyNumberFormat="1" applyFont="1"/>
    <xf numFmtId="1" fontId="1" fillId="2" borderId="0" xfId="0" applyNumberFormat="1" applyFont="1" applyFill="1"/>
    <xf numFmtId="0" fontId="2" fillId="0" borderId="0" xfId="1"/>
    <xf numFmtId="0" fontId="0" fillId="0" borderId="0" xfId="0"/>
    <xf numFmtId="0" fontId="0" fillId="0" borderId="0" xfId="0" applyFont="1"/>
    <xf numFmtId="0" fontId="0" fillId="0" borderId="0" xfId="0" applyFont="1"/>
  </cellXfs>
  <cellStyles count="2">
    <cellStyle name="Hyperlink" xfId="1" builtinId="8"/>
    <cellStyle name="Normal" xfId="0" builtinId="0"/>
  </cellStyles>
  <dxfs count="12">
    <dxf>
      <font>
        <strike val="0"/>
        <outline val="0"/>
        <shadow val="0"/>
        <u val="none"/>
        <vertAlign val="baseline"/>
        <sz val="11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  <dxf>
      <fill>
        <patternFill>
          <fgColor auto="1"/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66CC"/>
      <color rgb="FFFFCCFF"/>
      <color rgb="FFFF99FF"/>
      <color rgb="FF0099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13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=""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5" totalsRowShown="0" headerRowDxfId="10" dataDxfId="9">
  <autoFilter ref="E7:M55"/>
  <tableColumns count="9">
    <tableColumn id="1" name="Id" dataDxfId="8"/>
    <tableColumn id="2" name="Name" dataDxfId="0">
      <calculatedColumnFormula>PROPER(IFERROR(SUBSTITUTE(LEFT(Table1[[#This Row],[Email]],SEARCH("@",Table1[[#This Row],[Email]])-1),"."," "),Table1[[#This Row],[Name]]))</calculatedColumnFormula>
    </tableColumn>
    <tableColumn id="3" name="Age" dataDxfId="7"/>
    <tableColumn id="4" name="Gender" dataDxfId="6"/>
    <tableColumn id="5" name="Department" dataDxfId="5">
      <calculatedColumnFormula>UPPER(Table1[[#This Row],[Department]])</calculatedColumnFormula>
    </tableColumn>
    <tableColumn id="6" name="Email" dataDxfId="4"/>
    <tableColumn id="7" name="Phone" dataDxfId="3">
      <calculatedColumnFormula>IF(ISNA(Table1[[#This Row],[Phone]]),"",CONCATENATE("91-",MID(Table1[[#This Row],[Phone]],SEARCH("-",Table1[[#This Row],[Phone]])+1,LEN(Table1[[#This Row],[Phone]]))))</calculatedColumnFormula>
    </tableColumn>
    <tableColumn id="8" name="Address" dataDxfId="2">
      <calculatedColumnFormula>IF(ISBLANK(Table1[[#This Row],[Address]]),"ADDRESS NOT AVAILABLE",Table1[[#This Row],[Address]])</calculatedColumnFormula>
    </tableColumn>
    <tableColumn id="9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7:M55"/>
  <sheetViews>
    <sheetView tabSelected="1" topLeftCell="A27" workbookViewId="0">
      <selection activeCell="A46" sqref="A46"/>
    </sheetView>
  </sheetViews>
  <sheetFormatPr defaultRowHeight="14.4" x14ac:dyDescent="0.3"/>
  <cols>
    <col min="5" max="5" width="15.5546875" customWidth="1"/>
    <col min="6" max="6" width="13.77734375" bestFit="1" customWidth="1"/>
    <col min="7" max="7" width="22.21875" customWidth="1"/>
    <col min="8" max="8" width="35.44140625" customWidth="1"/>
    <col min="9" max="9" width="35.44140625" style="6" customWidth="1"/>
    <col min="10" max="11" width="25.109375" bestFit="1" customWidth="1"/>
    <col min="12" max="12" width="25.109375" style="6" customWidth="1"/>
    <col min="13" max="13" width="25.109375" customWidth="1"/>
    <col min="14" max="15" width="36.5546875" bestFit="1" customWidth="1"/>
    <col min="16" max="16" width="9" bestFit="1" customWidth="1"/>
  </cols>
  <sheetData>
    <row r="7" spans="5:13" x14ac:dyDescent="0.3">
      <c r="E7" s="1" t="s">
        <v>1</v>
      </c>
      <c r="F7" s="1" t="s">
        <v>0</v>
      </c>
      <c r="G7" s="4" t="s">
        <v>2</v>
      </c>
      <c r="H7" s="1" t="s">
        <v>3</v>
      </c>
      <c r="I7" s="1" t="s">
        <v>58</v>
      </c>
      <c r="J7" s="1" t="s">
        <v>4</v>
      </c>
      <c r="K7" s="1" t="s">
        <v>5</v>
      </c>
      <c r="L7" s="1" t="s">
        <v>6</v>
      </c>
      <c r="M7" s="1" t="s">
        <v>56</v>
      </c>
    </row>
    <row r="8" spans="5:13" x14ac:dyDescent="0.3">
      <c r="E8" s="2">
        <v>1</v>
      </c>
      <c r="F8" s="7" t="str">
        <f>PROPER(IFERROR(SUBSTITUTE(LEFT(Table1[[#This Row],[Email]],SEARCH("@",Table1[[#This Row],[Email]])-1),"."," "),Table1[[#This Row],[Name]]))</f>
        <v>John Doe</v>
      </c>
      <c r="G8" s="3">
        <v>32</v>
      </c>
      <c r="H8" s="2">
        <v>32</v>
      </c>
      <c r="I8" s="7" t="str">
        <f ca="1">UPPER(Table1[[#This Row],[Department]])</f>
        <v>OPERATIONS</v>
      </c>
      <c r="J8" s="2" t="s">
        <v>18</v>
      </c>
      <c r="K8" s="8" t="s">
        <v>57</v>
      </c>
      <c r="L8" s="7" t="str">
        <f ca="1">IF(ISBLANK(Table1[[#This Row],[Address]]),"ADDRESS NOT AVAILABLE",Table1[[#This Row],[Address]])</f>
        <v>123 Main St, Bangalore, Karnataka, India</v>
      </c>
      <c r="M8" s="2">
        <v>4553</v>
      </c>
    </row>
    <row r="9" spans="5:13" x14ac:dyDescent="0.3">
      <c r="E9" s="2">
        <v>2</v>
      </c>
      <c r="F9" s="7" t="str">
        <f>PROPER(IFERROR(SUBSTITUTE(LEFT(Table1[[#This Row],[Email]],SEARCH("@",Table1[[#This Row],[Email]])-1),"."," "),Table1[[#This Row],[Name]]))</f>
        <v>Jane Smith</v>
      </c>
      <c r="G9" s="3">
        <v>28</v>
      </c>
      <c r="H9" s="2" t="s">
        <v>9</v>
      </c>
      <c r="I9" s="7" t="str">
        <f ca="1">UPPER(Table1[[#This Row],[Department]])</f>
        <v>IT DEPARTMENT</v>
      </c>
      <c r="J9" s="2" t="s">
        <v>19</v>
      </c>
      <c r="K9" s="7" t="str">
        <f ca="1">IF(ISNA(Table1[[#This Row],[Phone]]),"",CONCATENATE("91-",MID(Table1[[#This Row],[Phone]],SEARCH("-",Table1[[#This Row],[Phone]])+1,LEN(Table1[[#This Row],[Phone]]))))</f>
        <v>91-9876543210</v>
      </c>
      <c r="L9" s="7" t="str">
        <f ca="1">IF(ISBLANK(Table1[[#This Row],[Address]]),"ADDRESS NOT AVAILABLE",Table1[[#This Row],[Address]])</f>
        <v>456 Park Ave, Mumbai, Maharashtra, India</v>
      </c>
      <c r="M9" s="2">
        <v>31169</v>
      </c>
    </row>
    <row r="10" spans="5:13" x14ac:dyDescent="0.3">
      <c r="E10" s="2">
        <v>3</v>
      </c>
      <c r="F10" s="7" t="str">
        <f>PROPER(IFERROR(SUBSTITUTE(LEFT(Table1[[#This Row],[Email]],SEARCH("@",Table1[[#This Row],[Email]])-1),"."," "),Table1[[#This Row],[Name]]))</f>
        <v>Amit Patel</v>
      </c>
      <c r="G10" s="3">
        <v>27</v>
      </c>
      <c r="H10" s="3" t="s">
        <v>7</v>
      </c>
      <c r="I10" s="7" t="str">
        <f ca="1">UPPER(Table1[[#This Row],[Department]])</f>
        <v>IT DEVLOPEMENT</v>
      </c>
      <c r="J10" s="2" t="s">
        <v>20</v>
      </c>
      <c r="K10" s="7" t="str">
        <f ca="1">IF(ISNA(Table1[[#This Row],[Phone]]),"",CONCATENATE("91-",MID(Table1[[#This Row],[Phone]],SEARCH("-",Table1[[#This Row],[Phone]])+1,LEN(Table1[[#This Row],[Phone]]))))</f>
        <v>91-8765432109</v>
      </c>
      <c r="L10" s="7" t="str">
        <f ca="1">IF(ISBLANK(Table1[[#This Row],[Address]]),"ADDRESS NOT AVAILABLE",Table1[[#This Row],[Address]])</f>
        <v>789 3rd St, Kolkata, West Bengal, India</v>
      </c>
      <c r="M10" s="2">
        <v>11116</v>
      </c>
    </row>
    <row r="11" spans="5:13" x14ac:dyDescent="0.3">
      <c r="E11" s="2">
        <v>4</v>
      </c>
      <c r="F11" s="7" t="str">
        <f>PROPER(IFERROR(SUBSTITUTE(LEFT(Table1[[#This Row],[Email]],SEARCH("@",Table1[[#This Row],[Email]])-1),"."," "),Table1[[#This Row],[Name]]))</f>
        <v>Priya Sharma</v>
      </c>
      <c r="G11" s="3">
        <v>33</v>
      </c>
      <c r="H11" s="2" t="s">
        <v>9</v>
      </c>
      <c r="I11" s="7" t="str">
        <f ca="1">UPPER(Table1[[#This Row],[Department]])</f>
        <v>SALES</v>
      </c>
      <c r="J11" s="2" t="s">
        <v>21</v>
      </c>
      <c r="K11" s="7" t="str">
        <f ca="1">IF(ISNA(Table1[[#This Row],[Phone]]),"",CONCATENATE("91-",MID(Table1[[#This Row],[Phone]],SEARCH("-",Table1[[#This Row],[Phone]])+1,LEN(Table1[[#This Row],[Phone]]))))</f>
        <v>91-5555555555</v>
      </c>
      <c r="L11" s="7" t="str">
        <f ca="1">IF(ISBLANK(Table1[[#This Row],[Address]]),"ADDRESS NOT AVAILABLE",Table1[[#This Row],[Address]])</f>
        <v>12 4th St, New Delhi, Delhi, India</v>
      </c>
      <c r="M11" s="2">
        <v>33457</v>
      </c>
    </row>
    <row r="12" spans="5:13" x14ac:dyDescent="0.3">
      <c r="E12" s="2">
        <v>5</v>
      </c>
      <c r="F12" s="7" t="str">
        <f>PROPER(IFERROR(SUBSTITUTE(LEFT(Table1[[#This Row],[Email]],SEARCH("@",Table1[[#This Row],[Email]])-1),"."," "),Table1[[#This Row],[Name]]))</f>
        <v>Jane Doe</v>
      </c>
      <c r="G12" s="3">
        <v>29</v>
      </c>
      <c r="H12" s="2" t="s">
        <v>9</v>
      </c>
      <c r="I12" s="7" t="str">
        <f ca="1">UPPER(Table1[[#This Row],[Department]])</f>
        <v>SALES</v>
      </c>
      <c r="J12" s="2" t="s">
        <v>22</v>
      </c>
      <c r="K12" s="7" t="e">
        <f ca="1">IF(ISNA(Table1[[#This Row],[Phone]]),"",CONCATENATE("91-",MID(Table1[[#This Row],[Phone]],SEARCH("-",Table1[[#This Row],[Phone]])+1,LEN(Table1[[#This Row],[Phone]]))))</f>
        <v>#VALUE!</v>
      </c>
      <c r="L12" s="7" t="str">
        <f ca="1">IF(ISBLANK(Table1[[#This Row],[Address]]),"ADDRESS NOT AVAILABLE",Table1[[#This Row],[Address]])</f>
        <v>ADDRESS NOT AVAILABLE</v>
      </c>
      <c r="M12" s="2">
        <v>21918</v>
      </c>
    </row>
    <row r="13" spans="5:13" x14ac:dyDescent="0.3">
      <c r="E13" s="2">
        <v>6</v>
      </c>
      <c r="F13" s="7" t="str">
        <f>PROPER(IFERROR(SUBSTITUTE(LEFT(Table1[[#This Row],[Email]],SEARCH("@",Table1[[#This Row],[Email]])-1),"."," "),Table1[[#This Row],[Name]]))</f>
        <v>Rakesh Kumar</v>
      </c>
      <c r="G13" s="3">
        <v>34</v>
      </c>
      <c r="H13" s="2" t="s">
        <v>7</v>
      </c>
      <c r="I13" s="7" t="str">
        <f ca="1">UPPER(Table1[[#This Row],[Department]])</f>
        <v>DATA SCIENCE</v>
      </c>
      <c r="J13" s="2" t="s">
        <v>23</v>
      </c>
      <c r="K13" s="7" t="e">
        <f ca="1">IF(ISNA(Table1[[#This Row],[Phone]]),"",CONCATENATE("91-",MID(Table1[[#This Row],[Phone]],SEARCH("-",Table1[[#This Row],[Phone]])+1,LEN(Table1[[#This Row],[Phone]]))))</f>
        <v>#VALUE!</v>
      </c>
      <c r="L13" s="7" t="str">
        <f ca="1">IF(ISBLANK(Table1[[#This Row],[Address]]),"ADDRESS NOT AVAILABLE",Table1[[#This Row],[Address]])</f>
        <v>345 5th St, Jaipur, Rajasthan, India</v>
      </c>
      <c r="M13" s="2">
        <v>33418</v>
      </c>
    </row>
    <row r="14" spans="5:13" x14ac:dyDescent="0.3">
      <c r="E14" s="2">
        <v>7</v>
      </c>
      <c r="F14" s="7" t="str">
        <f>PROPER(IFERROR(SUBSTITUTE(LEFT(Table1[[#This Row],[Email]],SEARCH("@",Table1[[#This Row],[Email]])-1),"."," "),Table1[[#This Row],[Name]]))</f>
        <v>Support</v>
      </c>
      <c r="G14" s="3">
        <v>25</v>
      </c>
      <c r="H14" s="2" t="s">
        <v>9</v>
      </c>
      <c r="I14" s="7" t="str">
        <f ca="1">UPPER(Table1[[#This Row],[Department]])</f>
        <v>IT DEVLOPEMENT</v>
      </c>
      <c r="J14" s="5" t="s">
        <v>59</v>
      </c>
      <c r="K14" s="5" t="str">
        <f ca="1">IF(ISNA(Table1[[#This Row],[Phone]]),"",CONCATENATE("91-",MID(Table1[[#This Row],[Phone]],SEARCH("-",Table1[[#This Row],[Phone]])+1,LEN(Table1[[#This Row],[Phone]]))))</f>
        <v>91-9999999999</v>
      </c>
      <c r="L14" s="5" t="str">
        <f ca="1">IF(ISBLANK(Table1[[#This Row],[Address]]),"ADDRESS NOT AVAILABLE",Table1[[#This Row],[Address]])</f>
        <v>678 6th St, Chennai, Tamil Nadu, India</v>
      </c>
      <c r="M14" s="2">
        <v>45828</v>
      </c>
    </row>
    <row r="15" spans="5:13" x14ac:dyDescent="0.3">
      <c r="E15" s="2">
        <v>8</v>
      </c>
      <c r="F15" s="7" t="str">
        <f>PROPER(IFERROR(SUBSTITUTE(LEFT(Table1[[#This Row],[Email]],SEARCH("@",Table1[[#This Row],[Email]])-1),"."," "),Table1[[#This Row],[Name]]))</f>
        <v>Aman Verma</v>
      </c>
      <c r="G15" s="3">
        <v>31</v>
      </c>
      <c r="H15" s="2" t="s">
        <v>7</v>
      </c>
      <c r="I15" s="7" t="str">
        <f ca="1">UPPER(Table1[[#This Row],[Department]])</f>
        <v>SALES</v>
      </c>
      <c r="J15" s="2" t="s">
        <v>24</v>
      </c>
      <c r="K15" s="7" t="str">
        <f ca="1">IF(ISNA(Table1[[#This Row],[Phone]]),"",CONCATENATE("91-",MID(Table1[[#This Row],[Phone]],SEARCH("-",Table1[[#This Row],[Phone]])+1,LEN(Table1[[#This Row],[Phone]]))))</f>
        <v>91-8888888797</v>
      </c>
      <c r="L15" s="7" t="str">
        <f ca="1">IF(ISBLANK(Table1[[#This Row],[Address]]),"ADDRESS NOT AVAILABLE",Table1[[#This Row],[Address]])</f>
        <v>ADDRESS NOT AVAILABLE</v>
      </c>
      <c r="M15" s="2">
        <v>45450</v>
      </c>
    </row>
    <row r="16" spans="5:13" x14ac:dyDescent="0.3">
      <c r="E16" s="2">
        <v>9</v>
      </c>
      <c r="F16" s="7" t="str">
        <f>PROPER(IFERROR(SUBSTITUTE(LEFT(Table1[[#This Row],[Email]],SEARCH("@",Table1[[#This Row],[Email]])-1),"."," "),Table1[[#This Row],[Name]]))</f>
        <v>Neha Gupta</v>
      </c>
      <c r="G16" s="3">
        <v>27</v>
      </c>
      <c r="H16" s="2" t="s">
        <v>9</v>
      </c>
      <c r="I16" s="7" t="str">
        <f ca="1">UPPER(Table1[[#This Row],[Department]])</f>
        <v>SALES</v>
      </c>
      <c r="J16" s="2" t="s">
        <v>25</v>
      </c>
      <c r="K16" s="7" t="str">
        <f ca="1">IF(ISNA(Table1[[#This Row],[Phone]]),"",CONCATENATE("91-",MID(Table1[[#This Row],[Phone]],SEARCH("-",Table1[[#This Row],[Phone]])+1,LEN(Table1[[#This Row],[Phone]]))))</f>
        <v>91-7777777686</v>
      </c>
      <c r="L16" s="7" t="str">
        <f ca="1">IF(ISBLANK(Table1[[#This Row],[Address]]),"ADDRESS NOT AVAILABLE",Table1[[#This Row],[Address]])</f>
        <v>901 7th St, Hyderabad, Telangana, India</v>
      </c>
      <c r="M16" s="2">
        <v>49938</v>
      </c>
    </row>
    <row r="17" spans="5:13" x14ac:dyDescent="0.3">
      <c r="E17" s="2">
        <v>10</v>
      </c>
      <c r="F17" s="7" t="str">
        <f>PROPER(IFERROR(SUBSTITUTE(LEFT(Table1[[#This Row],[Email]],SEARCH("@",Table1[[#This Row],[Email]])-1),"."," "),Table1[[#This Row],[Name]]))</f>
        <v>Naveen Sharma</v>
      </c>
      <c r="G17" s="3">
        <v>35</v>
      </c>
      <c r="H17" s="2" t="s">
        <v>7</v>
      </c>
      <c r="I17" s="7" t="str">
        <f ca="1">UPPER(Table1[[#This Row],[Department]])</f>
        <v>OPERATIONS</v>
      </c>
      <c r="J17" s="2" t="s">
        <v>26</v>
      </c>
      <c r="K17" s="7" t="e">
        <f ca="1">IF(ISNA(Table1[[#This Row],[Phone]]),"",CONCATENATE("91-",MID(Table1[[#This Row],[Phone]],SEARCH("-",Table1[[#This Row],[Phone]])+1,LEN(Table1[[#This Row],[Phone]]))))</f>
        <v>#VALUE!</v>
      </c>
      <c r="L17" s="7" t="str">
        <f ca="1">IF(ISBLANK(Table1[[#This Row],[Address]]),"ADDRESS NOT AVAILABLE",Table1[[#This Row],[Address]])</f>
        <v>234 8th St, Pune, Maharashtra, India</v>
      </c>
      <c r="M17" s="2">
        <v>9818</v>
      </c>
    </row>
    <row r="18" spans="5:13" x14ac:dyDescent="0.3">
      <c r="E18" s="2">
        <v>11</v>
      </c>
      <c r="F18" s="7" t="str">
        <f>PROPER(IFERROR(SUBSTITUTE(LEFT(Table1[[#This Row],[Email]],SEARCH("@",Table1[[#This Row],[Email]])-1),"."," "),Table1[[#This Row],[Name]]))</f>
        <v>Vinita Kapoor</v>
      </c>
      <c r="G18" s="3">
        <v>30</v>
      </c>
      <c r="H18" s="8" t="s">
        <v>7</v>
      </c>
      <c r="I18" s="7" t="str">
        <f ca="1">UPPER(Table1[[#This Row],[Department]])</f>
        <v>IT DEPARTMENT</v>
      </c>
      <c r="J18" s="2" t="s">
        <v>27</v>
      </c>
      <c r="K18" s="7" t="str">
        <f ca="1">IF(ISNA(Table1[[#This Row],[Phone]]),"",CONCATENATE("91-",MID(Table1[[#This Row],[Phone]],SEARCH("-",Table1[[#This Row],[Phone]])+1,LEN(Table1[[#This Row],[Phone]]))))</f>
        <v>91-6666666575</v>
      </c>
      <c r="L18" s="7" t="str">
        <f ca="1">IF(ISBLANK(Table1[[#This Row],[Address]]),"ADDRESS NOT AVAILABLE",Table1[[#This Row],[Address]])</f>
        <v>567 9th St, Ahmedabad, Gujarat, India</v>
      </c>
      <c r="M18" s="2">
        <v>41836</v>
      </c>
    </row>
    <row r="19" spans="5:13" x14ac:dyDescent="0.3">
      <c r="E19" s="2">
        <v>12</v>
      </c>
      <c r="F19" s="7" t="str">
        <f>PROPER(IFERROR(SUBSTITUTE(LEFT(Table1[[#This Row],[Email]],SEARCH("@",Table1[[#This Row],[Email]])-1),"."," "),Table1[[#This Row],[Name]]))</f>
        <v>Rajeev Kumar</v>
      </c>
      <c r="G19" s="3">
        <v>29</v>
      </c>
      <c r="H19" s="2">
        <v>29</v>
      </c>
      <c r="I19" s="7" t="str">
        <f ca="1">UPPER(Table1[[#This Row],[Department]])</f>
        <v>IT DEPARTMENT</v>
      </c>
      <c r="J19" s="2" t="s">
        <v>28</v>
      </c>
      <c r="K19" s="7" t="str">
        <f ca="1">IF(ISNA(Table1[[#This Row],[Phone]]),"",CONCATENATE("91-",MID(Table1[[#This Row],[Phone]],SEARCH("-",Table1[[#This Row],[Phone]])+1,LEN(Table1[[#This Row],[Phone]]))))</f>
        <v>91-5555555464</v>
      </c>
      <c r="L19" s="7" t="str">
        <f ca="1">IF(ISBLANK(Table1[[#This Row],[Address]]),"ADDRESS NOT AVAILABLE",Table1[[#This Row],[Address]])</f>
        <v>789 10th St, Bangalore, Karnataka, India</v>
      </c>
      <c r="M19" s="2">
        <v>11901</v>
      </c>
    </row>
    <row r="20" spans="5:13" x14ac:dyDescent="0.3">
      <c r="E20" s="2">
        <v>14</v>
      </c>
      <c r="F20" s="7" t="str">
        <f>PROPER(IFERROR(SUBSTITUTE(LEFT(Table1[[#This Row],[Email]],SEARCH("@",Table1[[#This Row],[Email]])-1),"."," "),Table1[[#This Row],[Name]]))</f>
        <v>Swati Singh</v>
      </c>
      <c r="G20" s="3">
        <v>28</v>
      </c>
      <c r="H20" s="2" t="s">
        <v>9</v>
      </c>
      <c r="I20" s="7" t="str">
        <f ca="1">UPPER(Table1[[#This Row],[Department]])</f>
        <v>HR</v>
      </c>
      <c r="J20" s="2" t="s">
        <v>29</v>
      </c>
      <c r="K20" s="7" t="e">
        <f ca="1">IF(ISNA(Table1[[#This Row],[Phone]]),"",CONCATENATE("91-",MID(Table1[[#This Row],[Phone]],SEARCH("-",Table1[[#This Row],[Phone]])+1,LEN(Table1[[#This Row],[Phone]]))))</f>
        <v>#VALUE!</v>
      </c>
      <c r="L20" s="7" t="str">
        <f ca="1">IF(ISBLANK(Table1[[#This Row],[Address]]),"ADDRESS NOT AVAILABLE",Table1[[#This Row],[Address]])</f>
        <v>654 12th St, Kolkata, West Bengal, India</v>
      </c>
      <c r="M20" s="2">
        <v>21978</v>
      </c>
    </row>
    <row r="21" spans="5:13" x14ac:dyDescent="0.3">
      <c r="E21" s="2">
        <v>15</v>
      </c>
      <c r="F21" s="7" t="str">
        <f>PROPER(IFERROR(SUBSTITUTE(LEFT(Table1[[#This Row],[Email]],SEARCH("@",Table1[[#This Row],[Email]])-1),"."," "),Table1[[#This Row],[Name]]))</f>
        <v>Kavita Sharma</v>
      </c>
      <c r="G21" s="3">
        <v>30</v>
      </c>
      <c r="H21" s="2" t="s">
        <v>9</v>
      </c>
      <c r="I21" s="7" t="str">
        <f ca="1">UPPER(Table1[[#This Row],[Department]])</f>
        <v>FINANCE/ACCOUNTS</v>
      </c>
      <c r="J21" s="2" t="s">
        <v>30</v>
      </c>
      <c r="K21" s="7" t="str">
        <f ca="1">IF(ISNA(Table1[[#This Row],[Phone]]),"",CONCATENATE("91-",MID(Table1[[#This Row],[Phone]],SEARCH("-",Table1[[#This Row],[Phone]])+1,LEN(Table1[[#This Row],[Phone]]))))</f>
        <v>91-8888888797</v>
      </c>
      <c r="L21" s="7" t="str">
        <f ca="1">IF(ISBLANK(Table1[[#This Row],[Address]]),"ADDRESS NOT AVAILABLE",Table1[[#This Row],[Address]])</f>
        <v>ADDRESS NOT AVAILABLE</v>
      </c>
      <c r="M21" s="2">
        <v>49400</v>
      </c>
    </row>
    <row r="22" spans="5:13" x14ac:dyDescent="0.3">
      <c r="E22" s="2">
        <v>16</v>
      </c>
      <c r="F22" s="7" t="str">
        <f>PROPER(IFERROR(SUBSTITUTE(LEFT(Table1[[#This Row],[Email]],SEARCH("@",Table1[[#This Row],[Email]])-1),"."," "),Table1[[#This Row],[Name]]))</f>
        <v>Manish Patel</v>
      </c>
      <c r="G22" s="3">
        <v>32</v>
      </c>
      <c r="H22" s="2" t="s">
        <v>7</v>
      </c>
      <c r="I22" s="7" t="str">
        <f ca="1">UPPER(Table1[[#This Row],[Department]])</f>
        <v>MANGEMENT</v>
      </c>
      <c r="J22" s="2" t="s">
        <v>31</v>
      </c>
      <c r="K22" s="7" t="str">
        <f ca="1">IF(ISNA(Table1[[#This Row],[Phone]]),"",CONCATENATE("91-",MID(Table1[[#This Row],[Phone]],SEARCH("-",Table1[[#This Row],[Phone]])+1,LEN(Table1[[#This Row],[Phone]]))))</f>
        <v>91-1234567799</v>
      </c>
      <c r="L22" s="7" t="str">
        <f ca="1">IF(ISBLANK(Table1[[#This Row],[Address]]),"ADDRESS NOT AVAILABLE",Table1[[#This Row],[Address]])</f>
        <v>987 13th St, New Delhi, Delhi, India</v>
      </c>
      <c r="M22" s="2">
        <v>28476</v>
      </c>
    </row>
    <row r="23" spans="5:13" x14ac:dyDescent="0.3">
      <c r="E23" s="2">
        <v>17</v>
      </c>
      <c r="F23" s="7" t="str">
        <f>PROPER(IFERROR(SUBSTITUTE(LEFT(Table1[[#This Row],[Email]],SEARCH("@",Table1[[#This Row],[Email]])-1),"."," "),Table1[[#This Row],[Name]]))</f>
        <v>Priyanka Jain</v>
      </c>
      <c r="G23" s="3">
        <v>26</v>
      </c>
      <c r="H23" s="2" t="s">
        <v>9</v>
      </c>
      <c r="I23" s="7" t="str">
        <f ca="1">UPPER(Table1[[#This Row],[Department]])</f>
        <v>DATA SCIENCE</v>
      </c>
      <c r="J23" s="2" t="s">
        <v>32</v>
      </c>
      <c r="K23" s="7" t="str">
        <f ca="1">IF(ISNA(Table1[[#This Row],[Phone]]),"",CONCATENATE("91-",MID(Table1[[#This Row],[Phone]],SEARCH("-",Table1[[#This Row],[Phone]])+1,LEN(Table1[[#This Row],[Phone]]))))</f>
        <v>91-8765432018</v>
      </c>
      <c r="L23" s="7" t="str">
        <f ca="1">IF(ISBLANK(Table1[[#This Row],[Address]]),"ADDRESS NOT AVAILABLE",Table1[[#This Row],[Address]])</f>
        <v>ADDRESS NOT AVAILABLE</v>
      </c>
      <c r="M23" s="2">
        <v>40088</v>
      </c>
    </row>
    <row r="24" spans="5:13" x14ac:dyDescent="0.3">
      <c r="E24" s="2">
        <v>18</v>
      </c>
      <c r="F24" s="7" t="str">
        <f>PROPER(IFERROR(SUBSTITUTE(LEFT(Table1[[#This Row],[Email]],SEARCH("@",Table1[[#This Row],[Email]])-1),"."," "),Table1[[#This Row],[Name]]))</f>
        <v>Rohit Sharma</v>
      </c>
      <c r="G24" s="3">
        <v>28</v>
      </c>
      <c r="H24" s="2" t="s">
        <v>7</v>
      </c>
      <c r="I24" s="7" t="str">
        <f ca="1">UPPER(Table1[[#This Row],[Department]])</f>
        <v>DATA SCIENCE</v>
      </c>
      <c r="J24" s="2" t="s">
        <v>8</v>
      </c>
      <c r="K24" s="7" t="str">
        <f ca="1">IF(ISNA(Table1[[#This Row],[Phone]]),"",CONCATENATE("91-",MID(Table1[[#This Row],[Phone]],SEARCH("-",Table1[[#This Row],[Phone]])+1,LEN(Table1[[#This Row],[Phone]]))))</f>
        <v>91-9876543119</v>
      </c>
      <c r="L24" s="7" t="str">
        <f ca="1">IF(ISBLANK(Table1[[#This Row],[Address]]),"ADDRESS NOT AVAILABLE",Table1[[#This Row],[Address]])</f>
        <v>654 14th St, Jaipur, Rajasthan, India</v>
      </c>
      <c r="M24" s="2">
        <v>2949</v>
      </c>
    </row>
    <row r="25" spans="5:13" x14ac:dyDescent="0.3">
      <c r="E25" s="2">
        <v>19</v>
      </c>
      <c r="F25" s="7" t="str">
        <f>PROPER(IFERROR(SUBSTITUTE(LEFT(Table1[[#This Row],[Email]],SEARCH("@",Table1[[#This Row],[Email]])-1),"."," "),Table1[[#This Row],[Name]]))</f>
        <v>Deepika Singh</v>
      </c>
      <c r="G25" s="3">
        <v>30</v>
      </c>
      <c r="H25" s="2" t="s">
        <v>9</v>
      </c>
      <c r="I25" s="7" t="str">
        <f ca="1">UPPER(Table1[[#This Row],[Department]])</f>
        <v>DATA SCIENCE</v>
      </c>
      <c r="J25" s="2" t="s">
        <v>10</v>
      </c>
      <c r="K25" s="7" t="str">
        <f ca="1">IF(ISNA(Table1[[#This Row],[Phone]]),"",CONCATENATE("91-",MID(Table1[[#This Row],[Phone]],SEARCH("-",Table1[[#This Row],[Phone]])+1,LEN(Table1[[#This Row],[Phone]]))))</f>
        <v>91-5555555464</v>
      </c>
      <c r="L25" s="7" t="str">
        <f ca="1">IF(ISBLANK(Table1[[#This Row],[Address]]),"ADDRESS NOT AVAILABLE",Table1[[#This Row],[Address]])</f>
        <v>321 15th St, Chennai, Tamil Nadu, India</v>
      </c>
      <c r="M25" s="2">
        <v>3337</v>
      </c>
    </row>
    <row r="26" spans="5:13" x14ac:dyDescent="0.3">
      <c r="E26" s="2">
        <v>20</v>
      </c>
      <c r="F26" s="7" t="str">
        <f>PROPER(IFERROR(SUBSTITUTE(LEFT(Table1[[#This Row],[Email]],SEARCH("@",Table1[[#This Row],[Email]])-1),"."," "),Table1[[#This Row],[Name]]))</f>
        <v>Vikas Joshi</v>
      </c>
      <c r="G26" s="3">
        <v>32</v>
      </c>
      <c r="H26" s="2" t="s">
        <v>7</v>
      </c>
      <c r="I26" s="7" t="str">
        <f ca="1">UPPER(Table1[[#This Row],[Department]])</f>
        <v>FINANCE/ACCOUNTS</v>
      </c>
      <c r="J26" s="2" t="s">
        <v>11</v>
      </c>
      <c r="K26" s="7" t="str">
        <f ca="1">IF(ISNA(Table1[[#This Row],[Phone]]),"",CONCATENATE("91-",MID(Table1[[#This Row],[Phone]],SEARCH("-",Table1[[#This Row],[Phone]])+1,LEN(Table1[[#This Row],[Phone]]))))</f>
        <v>91-9999999908</v>
      </c>
      <c r="L26" s="7" t="str">
        <f ca="1">IF(ISBLANK(Table1[[#This Row],[Address]]),"ADDRESS NOT AVAILABLE",Table1[[#This Row],[Address]])</f>
        <v>ADDRESS NOT AVAILABLE</v>
      </c>
      <c r="M26" s="2">
        <v>2857</v>
      </c>
    </row>
    <row r="27" spans="5:13" x14ac:dyDescent="0.3">
      <c r="E27" s="2">
        <v>21</v>
      </c>
      <c r="F27" s="7" t="str">
        <f>PROPER(IFERROR(SUBSTITUTE(LEFT(Table1[[#This Row],[Email]],SEARCH("@",Table1[[#This Row],[Email]])-1),"."," "),Table1[[#This Row],[Name]]))</f>
        <v>Nisha Verma</v>
      </c>
      <c r="G27" s="3">
        <v>26</v>
      </c>
      <c r="H27" s="2" t="s">
        <v>9</v>
      </c>
      <c r="I27" s="7" t="str">
        <f ca="1">UPPER(Table1[[#This Row],[Department]])</f>
        <v>MANGEMENT</v>
      </c>
      <c r="J27" s="2" t="s">
        <v>12</v>
      </c>
      <c r="K27" s="7" t="e">
        <f ca="1">IF(ISNA(Table1[[#This Row],[Phone]]),"",CONCATENATE("91-",MID(Table1[[#This Row],[Phone]],SEARCH("-",Table1[[#This Row],[Phone]])+1,LEN(Table1[[#This Row],[Phone]]))))</f>
        <v>#VALUE!</v>
      </c>
      <c r="L27" s="7" t="str">
        <f ca="1">IF(ISBLANK(Table1[[#This Row],[Address]]),"ADDRESS NOT AVAILABLE",Table1[[#This Row],[Address]])</f>
        <v>789 16th St, Hyderabad, Telangana, India</v>
      </c>
      <c r="M27" s="2">
        <v>35969</v>
      </c>
    </row>
    <row r="28" spans="5:13" x14ac:dyDescent="0.3">
      <c r="E28" s="2">
        <v>22</v>
      </c>
      <c r="F28" s="7" t="str">
        <f>PROPER(IFERROR(SUBSTITUTE(LEFT(Table1[[#This Row],[Email]],SEARCH("@",Table1[[#This Row],[Email]])-1),"."," "),Table1[[#This Row],[Name]]))</f>
        <v>Manoj Kumar</v>
      </c>
      <c r="G28" s="3">
        <v>33</v>
      </c>
      <c r="H28" s="2" t="s">
        <v>7</v>
      </c>
      <c r="I28" s="7" t="str">
        <f ca="1">UPPER(Table1[[#This Row],[Department]])</f>
        <v>DATA SCIENCE</v>
      </c>
      <c r="J28" s="2" t="s">
        <v>13</v>
      </c>
      <c r="K28" s="7" t="str">
        <f ca="1">IF(ISNA(Table1[[#This Row],[Phone]]),"",CONCATENATE("91-",MID(Table1[[#This Row],[Phone]],SEARCH("-",Table1[[#This Row],[Phone]])+1,LEN(Table1[[#This Row],[Phone]]))))</f>
        <v>91-8888888797</v>
      </c>
      <c r="L28" s="7" t="str">
        <f ca="1">IF(ISBLANK(Table1[[#This Row],[Address]]),"ADDRESS NOT AVAILABLE",Table1[[#This Row],[Address]])</f>
        <v>901 17th St, Pune, Maharashtra, India</v>
      </c>
      <c r="M28" s="2">
        <v>49681</v>
      </c>
    </row>
    <row r="29" spans="5:13" x14ac:dyDescent="0.3">
      <c r="E29" s="2">
        <v>24</v>
      </c>
      <c r="F29" s="7" t="str">
        <f>PROPER(IFERROR(SUBSTITUTE(LEFT(Table1[[#This Row],[Email]],SEARCH("@",Table1[[#This Row],[Email]])-1),"."," "),Table1[[#This Row],[Name]]))</f>
        <v>Sanjay Gupta</v>
      </c>
      <c r="G29" s="3">
        <v>29</v>
      </c>
      <c r="H29" s="2" t="s">
        <v>7</v>
      </c>
      <c r="I29" s="7" t="str">
        <f ca="1">UPPER(Table1[[#This Row],[Department]])</f>
        <v>OPERATIONS</v>
      </c>
      <c r="J29" s="2" t="s">
        <v>14</v>
      </c>
      <c r="K29" s="7" t="str">
        <f ca="1">IF(ISNA(Table1[[#This Row],[Phone]]),"",CONCATENATE("91-",MID(Table1[[#This Row],[Phone]],SEARCH("-",Table1[[#This Row],[Phone]])+1,LEN(Table1[[#This Row],[Phone]]))))</f>
        <v>91-6666666666</v>
      </c>
      <c r="L29" s="7" t="str">
        <f ca="1">IF(ISBLANK(Table1[[#This Row],[Address]]),"ADDRESS NOT AVAILABLE",Table1[[#This Row],[Address]])</f>
        <v>ADDRESS NOT AVAILABLE</v>
      </c>
      <c r="M29" s="2">
        <v>15853</v>
      </c>
    </row>
    <row r="30" spans="5:13" x14ac:dyDescent="0.3">
      <c r="E30" s="2">
        <v>25</v>
      </c>
      <c r="F30" s="7" t="str">
        <f>PROPER(IFERROR(SUBSTITUTE(LEFT(Table1[[#This Row],[Email]],SEARCH("@",Table1[[#This Row],[Email]])-1),"."," "),Table1[[#This Row],[Name]]))</f>
        <v>Anjali Sharma</v>
      </c>
      <c r="G30" s="3">
        <v>30</v>
      </c>
      <c r="H30" s="2" t="s">
        <v>9</v>
      </c>
      <c r="I30" s="7" t="str">
        <f ca="1">UPPER(Table1[[#This Row],[Department]])</f>
        <v>IT DEPARTMENT</v>
      </c>
      <c r="J30" s="2" t="s">
        <v>15</v>
      </c>
      <c r="K30" s="7" t="str">
        <f ca="1">IF(ISNA(Table1[[#This Row],[Phone]]),"",CONCATENATE("91-",MID(Table1[[#This Row],[Phone]],SEARCH("-",Table1[[#This Row],[Phone]])+1,LEN(Table1[[#This Row],[Phone]]))))</f>
        <v>91-5555555464</v>
      </c>
      <c r="L30" s="7" t="str">
        <f ca="1">IF(ISBLANK(Table1[[#This Row],[Address]]),"ADDRESS NOT AVAILABLE",Table1[[#This Row],[Address]])</f>
        <v>567 19th St, Bangalore, Karnataka, India</v>
      </c>
      <c r="M30" s="2">
        <v>6926</v>
      </c>
    </row>
    <row r="31" spans="5:13" x14ac:dyDescent="0.3">
      <c r="E31" s="2">
        <v>26</v>
      </c>
      <c r="F31" s="7" t="str">
        <f>PROPER(IFERROR(SUBSTITUTE(LEFT(Table1[[#This Row],[Email]],SEARCH("@",Table1[[#This Row],[Email]])-1),"."," "),Table1[[#This Row],[Name]]))</f>
        <v>Akash Patel</v>
      </c>
      <c r="G31" s="3">
        <v>31</v>
      </c>
      <c r="H31" s="2" t="s">
        <v>7</v>
      </c>
      <c r="I31" s="7" t="str">
        <f ca="1">UPPER(Table1[[#This Row],[Department]])</f>
        <v>FINANCE/ACCOUNTS</v>
      </c>
      <c r="J31" s="2" t="s">
        <v>16</v>
      </c>
      <c r="K31" s="7" t="e">
        <f ca="1">IF(ISNA(Table1[[#This Row],[Phone]]),"",CONCATENATE("91-",MID(Table1[[#This Row],[Phone]],SEARCH("-",Table1[[#This Row],[Phone]])+1,LEN(Table1[[#This Row],[Phone]]))))</f>
        <v>#VALUE!</v>
      </c>
      <c r="L31" s="7" t="str">
        <f ca="1">IF(ISBLANK(Table1[[#This Row],[Address]]),"ADDRESS NOT AVAILABLE",Table1[[#This Row],[Address]])</f>
        <v>789 20th St, Mumbai, Maharashtra, India</v>
      </c>
      <c r="M31" s="2">
        <v>45678</v>
      </c>
    </row>
    <row r="32" spans="5:13" x14ac:dyDescent="0.3">
      <c r="E32" s="2">
        <v>27</v>
      </c>
      <c r="F32" s="7" t="str">
        <f>PROPER(IFERROR(SUBSTITUTE(LEFT(Table1[[#This Row],[Email]],SEARCH("@",Table1[[#This Row],[Email]])-1),"."," "),Table1[[#This Row],[Name]]))</f>
        <v>Preeti Singh</v>
      </c>
      <c r="G32" s="3">
        <v>28</v>
      </c>
      <c r="H32" s="2">
        <v>30</v>
      </c>
      <c r="I32" s="7" t="str">
        <f ca="1">UPPER(Table1[[#This Row],[Department]])</f>
        <v>MANGEMENT</v>
      </c>
      <c r="J32" s="2" t="s">
        <v>17</v>
      </c>
      <c r="K32" s="7" t="str">
        <f ca="1">IF(ISNA(Table1[[#This Row],[Phone]]),"",CONCATENATE("91-",MID(Table1[[#This Row],[Phone]],SEARCH("-",Table1[[#This Row],[Phone]])+1,LEN(Table1[[#This Row],[Phone]]))))</f>
        <v>91-7777777686</v>
      </c>
      <c r="L32" s="7" t="str">
        <f ca="1">IF(ISBLANK(Table1[[#This Row],[Address]]),"ADDRESS NOT AVAILABLE",Table1[[#This Row],[Address]])</f>
        <v>321 21st St, Kolkata, West Bengal, India</v>
      </c>
      <c r="M32" s="2">
        <v>8022</v>
      </c>
    </row>
    <row r="33" spans="5:13" x14ac:dyDescent="0.3">
      <c r="E33" s="2">
        <v>28</v>
      </c>
      <c r="F33" s="7" t="str">
        <f>PROPER(IFERROR(SUBSTITUTE(LEFT(Table1[[#This Row],[Email]],SEARCH("@",Table1[[#This Row],[Email]])-1),"."," "),Table1[[#This Row],[Name]]))</f>
        <v>Ravi Kumar</v>
      </c>
      <c r="G33" s="3">
        <v>34</v>
      </c>
      <c r="H33" s="2" t="s">
        <v>7</v>
      </c>
      <c r="I33" s="7" t="str">
        <f ca="1">UPPER(Table1[[#This Row],[Department]])</f>
        <v>DATA SCIENCE</v>
      </c>
      <c r="J33" s="2" t="s">
        <v>33</v>
      </c>
      <c r="K33" s="7" t="str">
        <f ca="1">IF(ISNA(Table1[[#This Row],[Phone]]),"",CONCATENATE("91-",MID(Table1[[#This Row],[Phone]],SEARCH("-",Table1[[#This Row],[Phone]])+1,LEN(Table1[[#This Row],[Phone]]))))</f>
        <v>91-8888888797</v>
      </c>
      <c r="L33" s="7" t="str">
        <f ca="1">IF(ISBLANK(Table1[[#This Row],[Address]]),"ADDRESS NOT AVAILABLE",Table1[[#This Row],[Address]])</f>
        <v>901 22nd St, Patna, Bihar, India</v>
      </c>
      <c r="M33" s="2">
        <v>3484</v>
      </c>
    </row>
    <row r="34" spans="5:13" x14ac:dyDescent="0.3">
      <c r="E34" s="2">
        <v>29</v>
      </c>
      <c r="F34" s="7" t="str">
        <f>PROPER(IFERROR(SUBSTITUTE(LEFT(Table1[[#This Row],[Email]],SEARCH("@",Table1[[#This Row],[Email]])-1),"."," "),Table1[[#This Row],[Name]]))</f>
        <v>Swati Mishra</v>
      </c>
      <c r="G34" s="3">
        <v>26</v>
      </c>
      <c r="H34" s="2" t="s">
        <v>9</v>
      </c>
      <c r="I34" s="7" t="str">
        <f ca="1">UPPER(Table1[[#This Row],[Department]])</f>
        <v>IT DEVLOPEMENT</v>
      </c>
      <c r="J34" s="2" t="s">
        <v>34</v>
      </c>
      <c r="K34" s="7" t="str">
        <f ca="1">IF(ISNA(Table1[[#This Row],[Phone]]),"",CONCATENATE("91-",MID(Table1[[#This Row],[Phone]],SEARCH("-",Table1[[#This Row],[Phone]])+1,LEN(Table1[[#This Row],[Phone]]))))</f>
        <v>91-7777777686</v>
      </c>
      <c r="L34" s="7" t="str">
        <f ca="1">IF(ISBLANK(Table1[[#This Row],[Address]]),"ADDRESS NOT AVAILABLE",Table1[[#This Row],[Address]])</f>
        <v>234 23rd St, Bhopal, Madhya Pradesh, India</v>
      </c>
      <c r="M34" s="2">
        <v>11342</v>
      </c>
    </row>
    <row r="35" spans="5:13" x14ac:dyDescent="0.3">
      <c r="E35" s="2">
        <v>30</v>
      </c>
      <c r="F35" s="7" t="str">
        <f>PROPER(IFERROR(SUBSTITUTE(LEFT(Table1[[#This Row],[Email]],SEARCH("@",Table1[[#This Row],[Email]])-1),"."," "),Table1[[#This Row],[Name]]))</f>
        <v>Ankit Singh</v>
      </c>
      <c r="G35" s="3">
        <v>29</v>
      </c>
      <c r="H35" s="2" t="s">
        <v>7</v>
      </c>
      <c r="I35" s="7" t="str">
        <f ca="1">UPPER(Table1[[#This Row],[Department]])</f>
        <v>SALES</v>
      </c>
      <c r="J35" s="2" t="s">
        <v>35</v>
      </c>
      <c r="K35" s="7" t="e">
        <f ca="1">IF(ISNA(Table1[[#This Row],[Phone]]),"",CONCATENATE("91-",MID(Table1[[#This Row],[Phone]],SEARCH("-",Table1[[#This Row],[Phone]])+1,LEN(Table1[[#This Row],[Phone]]))))</f>
        <v>#VALUE!</v>
      </c>
      <c r="L35" s="7" t="str">
        <f ca="1">IF(ISBLANK(Table1[[#This Row],[Address]]),"ADDRESS NOT AVAILABLE",Table1[[#This Row],[Address]])</f>
        <v>567 24th St, Lucknow, Uttar Pradesh, India</v>
      </c>
      <c r="M35" s="2">
        <v>40940</v>
      </c>
    </row>
    <row r="36" spans="5:13" x14ac:dyDescent="0.3">
      <c r="E36" s="2">
        <v>31</v>
      </c>
      <c r="F36" s="7" t="str">
        <f>PROPER(IFERROR(SUBSTITUTE(LEFT(Table1[[#This Row],[Email]],SEARCH("@",Table1[[#This Row],[Email]])-1),"."," "),Table1[[#This Row],[Name]]))</f>
        <v>Neha Gupta</v>
      </c>
      <c r="G36" s="3">
        <v>27</v>
      </c>
      <c r="H36" s="2" t="s">
        <v>9</v>
      </c>
      <c r="I36" s="7" t="str">
        <f ca="1">UPPER(Table1[[#This Row],[Department]])</f>
        <v>SALES</v>
      </c>
      <c r="J36" s="2" t="s">
        <v>36</v>
      </c>
      <c r="K36" s="7" t="str">
        <f ca="1">IF(ISNA(Table1[[#This Row],[Phone]]),"",CONCATENATE("91-",MID(Table1[[#This Row],[Phone]],SEARCH("-",Table1[[#This Row],[Phone]])+1,LEN(Table1[[#This Row],[Phone]]))))</f>
        <v>91-5555555464</v>
      </c>
      <c r="L36" s="7" t="str">
        <f ca="1">IF(ISBLANK(Table1[[#This Row],[Address]]),"ADDRESS NOT AVAILABLE",Table1[[#This Row],[Address]])</f>
        <v>ADDRESS NOT AVAILABLE</v>
      </c>
      <c r="M36" s="2">
        <v>41841</v>
      </c>
    </row>
    <row r="37" spans="5:13" x14ac:dyDescent="0.3">
      <c r="E37" s="2">
        <v>32</v>
      </c>
      <c r="F37" s="7" t="str">
        <f>PROPER(IFERROR(SUBSTITUTE(LEFT(Table1[[#This Row],[Email]],SEARCH("@",Table1[[#This Row],[Email]])-1),"."," "),Table1[[#This Row],[Name]]))</f>
        <v>Rajeev Sharma</v>
      </c>
      <c r="G37" s="3">
        <v>32</v>
      </c>
      <c r="H37" s="2" t="s">
        <v>7</v>
      </c>
      <c r="I37" s="7" t="str">
        <f ca="1">UPPER(Table1[[#This Row],[Department]])</f>
        <v>FINANCE/ACCOUNTS</v>
      </c>
      <c r="J37" s="2" t="s">
        <v>37</v>
      </c>
      <c r="K37" s="7" t="e">
        <f ca="1">IF(ISNA(Table1[[#This Row],[Phone]]),"",CONCATENATE("91-",MID(Table1[[#This Row],[Phone]],SEARCH("-",Table1[[#This Row],[Phone]])+1,LEN(Table1[[#This Row],[Phone]]))))</f>
        <v>#VALUE!</v>
      </c>
      <c r="L37" s="7" t="str">
        <f ca="1">IF(ISBLANK(Table1[[#This Row],[Address]]),"ADDRESS NOT AVAILABLE",Table1[[#This Row],[Address]])</f>
        <v>789 25th St, Jaipur, Rajasthan, India</v>
      </c>
      <c r="M37" s="2">
        <v>39835</v>
      </c>
    </row>
    <row r="38" spans="5:13" x14ac:dyDescent="0.3">
      <c r="E38" s="2">
        <v>33</v>
      </c>
      <c r="F38" s="7" t="str">
        <f>PROPER(IFERROR(SUBSTITUTE(LEFT(Table1[[#This Row],[Email]],SEARCH("@",Table1[[#This Row],[Email]])-1),"."," "),Table1[[#This Row],[Name]]))</f>
        <v>Sarika Patel</v>
      </c>
      <c r="G38" s="3">
        <v>33</v>
      </c>
      <c r="H38" s="2" t="s">
        <v>9</v>
      </c>
      <c r="I38" s="7" t="str">
        <f ca="1">UPPER(Table1[[#This Row],[Department]])</f>
        <v>MANGEMENT</v>
      </c>
      <c r="J38" s="2" t="s">
        <v>38</v>
      </c>
      <c r="K38" s="7" t="str">
        <f ca="1">IF(ISNA(Table1[[#This Row],[Phone]]),"",CONCATENATE("91-",MID(Table1[[#This Row],[Phone]],SEARCH("-",Table1[[#This Row],[Phone]])+1,LEN(Table1[[#This Row],[Phone]]))))</f>
        <v>91-6666666575</v>
      </c>
      <c r="L38" s="7" t="str">
        <f ca="1">IF(ISBLANK(Table1[[#This Row],[Address]]),"ADDRESS NOT AVAILABLE",Table1[[#This Row],[Address]])</f>
        <v>654 26th St, Chennai, Tamil Nadu, India</v>
      </c>
      <c r="M38" s="2">
        <v>9577</v>
      </c>
    </row>
    <row r="39" spans="5:13" x14ac:dyDescent="0.3">
      <c r="E39" s="2">
        <v>34</v>
      </c>
      <c r="F39" s="7" t="str">
        <f>PROPER(IFERROR(SUBSTITUTE(LEFT(Table1[[#This Row],[Email]],SEARCH("@",Table1[[#This Row],[Email]])-1),"."," "),Table1[[#This Row],[Name]]))</f>
        <v>Vinay Singh</v>
      </c>
      <c r="G39" s="3">
        <v>30</v>
      </c>
      <c r="H39" s="2" t="s">
        <v>7</v>
      </c>
      <c r="I39" s="7" t="str">
        <f ca="1">UPPER(Table1[[#This Row],[Department]])</f>
        <v>DATA SCIENCE</v>
      </c>
      <c r="J39" s="2" t="s">
        <v>39</v>
      </c>
      <c r="K39" s="7" t="e">
        <f ca="1">IF(ISNA(Table1[[#This Row],[Phone]]),"",CONCATENATE("91-",MID(Table1[[#This Row],[Phone]],SEARCH("-",Table1[[#This Row],[Phone]])+1,LEN(Table1[[#This Row],[Phone]]))))</f>
        <v>#VALUE!</v>
      </c>
      <c r="L39" s="7" t="str">
        <f ca="1">IF(ISBLANK(Table1[[#This Row],[Address]]),"ADDRESS NOT AVAILABLE",Table1[[#This Row],[Address]])</f>
        <v>321 27th St, Hyderabad, Telangana, India</v>
      </c>
      <c r="M39" s="2">
        <v>29480</v>
      </c>
    </row>
    <row r="40" spans="5:13" x14ac:dyDescent="0.3">
      <c r="E40" s="2">
        <v>35</v>
      </c>
      <c r="F40" s="7" t="str">
        <f>PROPER(IFERROR(SUBSTITUTE(LEFT(Table1[[#This Row],[Email]],SEARCH("@",Table1[[#This Row],[Email]])-1),"."," "),Table1[[#This Row],[Name]]))</f>
        <v>Priya Gupta</v>
      </c>
      <c r="G40" s="3">
        <v>30</v>
      </c>
      <c r="H40" s="2" t="s">
        <v>9</v>
      </c>
      <c r="I40" s="7" t="str">
        <f ca="1">UPPER(Table1[[#This Row],[Department]])</f>
        <v>IT DEVLOPEMENT</v>
      </c>
      <c r="J40" s="2" t="s">
        <v>40</v>
      </c>
      <c r="K40" s="7" t="str">
        <f ca="1">IF(ISNA(Table1[[#This Row],[Phone]]),"",CONCATENATE("91-",MID(Table1[[#This Row],[Phone]],SEARCH("-",Table1[[#This Row],[Phone]])+1,LEN(Table1[[#This Row],[Phone]]))))</f>
        <v>91-5555555464</v>
      </c>
      <c r="L40" s="7" t="str">
        <f ca="1">IF(ISBLANK(Table1[[#This Row],[Address]]),"ADDRESS NOT AVAILABLE",Table1[[#This Row],[Address]])</f>
        <v>901 28th St, Pune, Maharashtra, India</v>
      </c>
      <c r="M40" s="2">
        <v>14254</v>
      </c>
    </row>
    <row r="41" spans="5:13" x14ac:dyDescent="0.3">
      <c r="E41" s="2">
        <v>36</v>
      </c>
      <c r="F41" s="7" t="str">
        <f>PROPER(IFERROR(SUBSTITUTE(LEFT(Table1[[#This Row],[Email]],SEARCH("@",Table1[[#This Row],[Email]])-1),"."," "),Table1[[#This Row],[Name]]))</f>
        <v>Sushant Patel</v>
      </c>
      <c r="G41" s="3">
        <v>29</v>
      </c>
      <c r="H41" s="2" t="s">
        <v>7</v>
      </c>
      <c r="I41" s="7" t="str">
        <f ca="1">UPPER(Table1[[#This Row],[Department]])</f>
        <v>SALES</v>
      </c>
      <c r="J41" s="2" t="s">
        <v>41</v>
      </c>
      <c r="K41" s="7" t="str">
        <f ca="1">IF(ISNA(Table1[[#This Row],[Phone]]),"",CONCATENATE("91-",MID(Table1[[#This Row],[Phone]],SEARCH("-",Table1[[#This Row],[Phone]])+1,LEN(Table1[[#This Row],[Phone]]))))</f>
        <v>91-7777777686</v>
      </c>
      <c r="L41" s="7" t="str">
        <f ca="1">IF(ISBLANK(Table1[[#This Row],[Address]]),"ADDRESS NOT AVAILABLE",Table1[[#This Row],[Address]])</f>
        <v>567 29th St, Ahmedabad, Gujarat, India</v>
      </c>
      <c r="M41" s="2">
        <v>37358</v>
      </c>
    </row>
    <row r="42" spans="5:13" x14ac:dyDescent="0.3">
      <c r="E42" s="2">
        <v>37</v>
      </c>
      <c r="F42" s="7" t="str">
        <f>PROPER(IFERROR(SUBSTITUTE(LEFT(Table1[[#This Row],[Email]],SEARCH("@",Table1[[#This Row],[Email]])-1),"."," "),Table1[[#This Row],[Name]]))</f>
        <v>Payal Sharma</v>
      </c>
      <c r="G42" s="3">
        <v>31</v>
      </c>
      <c r="H42" s="2" t="s">
        <v>9</v>
      </c>
      <c r="I42" s="7" t="str">
        <f ca="1">UPPER(Table1[[#This Row],[Department]])</f>
        <v>SALES</v>
      </c>
      <c r="J42" s="2" t="s">
        <v>42</v>
      </c>
      <c r="K42" s="7" t="e">
        <f ca="1">IF(ISNA(Table1[[#This Row],[Phone]]),"",CONCATENATE("91-",MID(Table1[[#This Row],[Phone]],SEARCH("-",Table1[[#This Row],[Phone]])+1,LEN(Table1[[#This Row],[Phone]]))))</f>
        <v>#VALUE!</v>
      </c>
      <c r="L42" s="7" t="str">
        <f ca="1">IF(ISBLANK(Table1[[#This Row],[Address]]),"ADDRESS NOT AVAILABLE",Table1[[#This Row],[Address]])</f>
        <v>234 30th St, Bangalore, Karnataka, India</v>
      </c>
      <c r="M42" s="2">
        <v>48367</v>
      </c>
    </row>
    <row r="43" spans="5:13" x14ac:dyDescent="0.3">
      <c r="E43" s="2">
        <v>38</v>
      </c>
      <c r="F43" s="7" t="str">
        <f>PROPER(IFERROR(SUBSTITUTE(LEFT(Table1[[#This Row],[Email]],SEARCH("@",Table1[[#This Row],[Email]])-1),"."," "),Table1[[#This Row],[Name]]))</f>
        <v>Mohit Verma</v>
      </c>
      <c r="G43" s="3">
        <v>28</v>
      </c>
      <c r="H43" s="2" t="s">
        <v>7</v>
      </c>
      <c r="I43" s="7" t="str">
        <f ca="1">UPPER(Table1[[#This Row],[Department]])</f>
        <v>HR</v>
      </c>
      <c r="J43" s="2" t="s">
        <v>43</v>
      </c>
      <c r="K43" s="7" t="str">
        <f ca="1">IF(ISNA(Table1[[#This Row],[Phone]]),"",CONCATENATE("91-",MID(Table1[[#This Row],[Phone]],SEARCH("-",Table1[[#This Row],[Phone]])+1,LEN(Table1[[#This Row],[Phone]]))))</f>
        <v>91-8888888797</v>
      </c>
      <c r="L43" s="7" t="str">
        <f ca="1">IF(ISBLANK(Table1[[#This Row],[Address]]),"ADDRESS NOT AVAILABLE",Table1[[#This Row],[Address]])</f>
        <v>789 31st St, Mumbai, Maharashtra, India</v>
      </c>
      <c r="M43" s="2">
        <v>37473</v>
      </c>
    </row>
    <row r="44" spans="5:13" x14ac:dyDescent="0.3">
      <c r="E44" s="2">
        <v>39</v>
      </c>
      <c r="F44" s="7" t="str">
        <f>PROPER(IFERROR(SUBSTITUTE(LEFT(Table1[[#This Row],[Email]],SEARCH("@",Table1[[#This Row],[Email]])-1),"."," "),Table1[[#This Row],[Name]]))</f>
        <v>Kavita Singh</v>
      </c>
      <c r="G44" s="3">
        <v>33</v>
      </c>
      <c r="H44" s="2" t="s">
        <v>9</v>
      </c>
      <c r="I44" s="7" t="str">
        <f ca="1">UPPER(Table1[[#This Row],[Department]])</f>
        <v>HR</v>
      </c>
      <c r="J44" s="2" t="s">
        <v>44</v>
      </c>
      <c r="K44" s="7" t="str">
        <f ca="1">IF(ISNA(Table1[[#This Row],[Phone]]),"",CONCATENATE("91-",MID(Table1[[#This Row],[Phone]],SEARCH("-",Table1[[#This Row],[Phone]])+1,LEN(Table1[[#This Row],[Phone]]))))</f>
        <v>91-9999999908</v>
      </c>
      <c r="L44" s="7" t="str">
        <f ca="1">IF(ISBLANK(Table1[[#This Row],[Address]]),"ADDRESS NOT AVAILABLE",Table1[[#This Row],[Address]])</f>
        <v>901 32nd St, Kolkata, West Bengal, India</v>
      </c>
      <c r="M44" s="2">
        <v>30628</v>
      </c>
    </row>
    <row r="45" spans="5:13" x14ac:dyDescent="0.3">
      <c r="E45" s="2">
        <v>40</v>
      </c>
      <c r="F45" s="7" t="str">
        <f>PROPER(IFERROR(SUBSTITUTE(LEFT(Table1[[#This Row],[Email]],SEARCH("@",Table1[[#This Row],[Email]])-1),"."," "),Table1[[#This Row],[Name]]))</f>
        <v>Ankit Patel</v>
      </c>
      <c r="G45" s="3">
        <v>30</v>
      </c>
      <c r="H45" s="2" t="s">
        <v>7</v>
      </c>
      <c r="I45" s="7" t="str">
        <f ca="1">UPPER(Table1[[#This Row],[Department]])</f>
        <v>OPERARYION</v>
      </c>
      <c r="J45" s="2" t="s">
        <v>45</v>
      </c>
      <c r="K45" s="7" t="e">
        <f ca="1">IF(ISNA(Table1[[#This Row],[Phone]]),"",CONCATENATE("91-",MID(Table1[[#This Row],[Phone]],SEARCH("-",Table1[[#This Row],[Phone]])+1,LEN(Table1[[#This Row],[Phone]]))))</f>
        <v>#VALUE!</v>
      </c>
      <c r="L45" s="7" t="str">
        <f ca="1">IF(ISBLANK(Table1[[#This Row],[Address]]),"ADDRESS NOT AVAILABLE",Table1[[#This Row],[Address]])</f>
        <v>321 33rd St, Patna, Bihar, India</v>
      </c>
      <c r="M45" s="2">
        <v>22018</v>
      </c>
    </row>
    <row r="46" spans="5:13" x14ac:dyDescent="0.3">
      <c r="E46" s="2">
        <v>41</v>
      </c>
      <c r="F46" s="7" t="str">
        <f>PROPER(IFERROR(SUBSTITUTE(LEFT(Table1[[#This Row],[Email]],SEARCH("@",Table1[[#This Row],[Email]])-1),"."," "),Table1[[#This Row],[Name]]))</f>
        <v>Pooja Mishra</v>
      </c>
      <c r="G46" s="3">
        <v>27</v>
      </c>
      <c r="H46" s="2" t="s">
        <v>9</v>
      </c>
      <c r="I46" s="7" t="str">
        <f ca="1">UPPER(Table1[[#This Row],[Department]])</f>
        <v>DATA SCIENCE</v>
      </c>
      <c r="J46" s="2" t="s">
        <v>46</v>
      </c>
      <c r="K46" s="7" t="str">
        <f ca="1">IF(ISNA(Table1[[#This Row],[Phone]]),"",CONCATENATE("91-",MID(Table1[[#This Row],[Phone]],SEARCH("-",Table1[[#This Row],[Phone]])+1,LEN(Table1[[#This Row],[Phone]]))))</f>
        <v>91-7777777686</v>
      </c>
      <c r="L46" s="7" t="str">
        <f ca="1">IF(ISBLANK(Table1[[#This Row],[Address]]),"ADDRESS NOT AVAILABLE",Table1[[#This Row],[Address]])</f>
        <v>234 34th St, Bhopal, Madhya Pradesh, India</v>
      </c>
      <c r="M46" s="2">
        <v>35747</v>
      </c>
    </row>
    <row r="47" spans="5:13" x14ac:dyDescent="0.3">
      <c r="E47" s="2">
        <v>42</v>
      </c>
      <c r="F47" s="7" t="str">
        <f>PROPER(IFERROR(SUBSTITUTE(LEFT(Table1[[#This Row],[Email]],SEARCH("@",Table1[[#This Row],[Email]])-1),"."," "),Table1[[#This Row],[Name]]))</f>
        <v>Mohan Kumar</v>
      </c>
      <c r="G47" s="3">
        <v>29</v>
      </c>
      <c r="H47" s="2" t="s">
        <v>7</v>
      </c>
      <c r="I47" s="7" t="str">
        <f ca="1">UPPER(Table1[[#This Row],[Department]])</f>
        <v>SALES</v>
      </c>
      <c r="J47" s="2" t="s">
        <v>47</v>
      </c>
      <c r="K47" s="7" t="e">
        <f ca="1">IF(ISNA(Table1[[#This Row],[Phone]]),"",CONCATENATE("91-",MID(Table1[[#This Row],[Phone]],SEARCH("-",Table1[[#This Row],[Phone]])+1,LEN(Table1[[#This Row],[Phone]]))))</f>
        <v>#VALUE!</v>
      </c>
      <c r="L47" s="7" t="str">
        <f ca="1">IF(ISBLANK(Table1[[#This Row],[Address]]),"ADDRESS NOT AVAILABLE",Table1[[#This Row],[Address]])</f>
        <v>567 35th St, Lucknow, Uttar Pradesh, India</v>
      </c>
      <c r="M47" s="2">
        <v>32258</v>
      </c>
    </row>
    <row r="48" spans="5:13" x14ac:dyDescent="0.3">
      <c r="E48" s="2">
        <v>43</v>
      </c>
      <c r="F48" s="7" t="str">
        <f>PROPER(IFERROR(SUBSTITUTE(LEFT(Table1[[#This Row],[Email]],SEARCH("@",Table1[[#This Row],[Email]])-1),"."," "),Table1[[#This Row],[Name]]))</f>
        <v>Anjali Gupta</v>
      </c>
      <c r="G48" s="3">
        <v>26</v>
      </c>
      <c r="H48" s="2" t="s">
        <v>9</v>
      </c>
      <c r="I48" s="7" t="str">
        <f ca="1">UPPER(Table1[[#This Row],[Department]])</f>
        <v>FINANCE/ACCOUNTS</v>
      </c>
      <c r="J48" s="2" t="s">
        <v>48</v>
      </c>
      <c r="K48" s="7" t="str">
        <f ca="1">IF(ISNA(Table1[[#This Row],[Phone]]),"",CONCATENATE("91-",MID(Table1[[#This Row],[Phone]],SEARCH("-",Table1[[#This Row],[Phone]])+1,LEN(Table1[[#This Row],[Phone]]))))</f>
        <v>91-5555555464</v>
      </c>
      <c r="L48" s="7" t="str">
        <f ca="1">IF(ISBLANK(Table1[[#This Row],[Address]]),"ADDRESS NOT AVAILABLE",Table1[[#This Row],[Address]])</f>
        <v>654 36th St, Jaipur, Rajasthan, India</v>
      </c>
      <c r="M48" s="2">
        <v>31047</v>
      </c>
    </row>
    <row r="49" spans="5:13" x14ac:dyDescent="0.3">
      <c r="E49" s="2">
        <v>44</v>
      </c>
      <c r="F49" s="7" t="str">
        <f>PROPER(IFERROR(SUBSTITUTE(LEFT(Table1[[#This Row],[Email]],SEARCH("@",Table1[[#This Row],[Email]])-1),"."," "),Table1[[#This Row],[Name]]))</f>
        <v>Mukesh Sharma</v>
      </c>
      <c r="G49" s="3">
        <v>28</v>
      </c>
      <c r="H49" s="2" t="s">
        <v>7</v>
      </c>
      <c r="I49" s="7" t="str">
        <f ca="1">UPPER(Table1[[#This Row],[Department]])</f>
        <v>MANGEMENT</v>
      </c>
      <c r="J49" s="2" t="s">
        <v>49</v>
      </c>
      <c r="K49" s="7" t="e">
        <f ca="1">IF(ISNA(Table1[[#This Row],[Phone]]),"",CONCATENATE("91-",MID(Table1[[#This Row],[Phone]],SEARCH("-",Table1[[#This Row],[Phone]])+1,LEN(Table1[[#This Row],[Phone]]))))</f>
        <v>#VALUE!</v>
      </c>
      <c r="L49" s="7" t="str">
        <f ca="1">IF(ISBLANK(Table1[[#This Row],[Address]]),"ADDRESS NOT AVAILABLE",Table1[[#This Row],[Address]])</f>
        <v>789 37th St, Chennai, Tamil Nadu, India</v>
      </c>
      <c r="M49" s="2">
        <v>31064</v>
      </c>
    </row>
    <row r="50" spans="5:13" x14ac:dyDescent="0.3">
      <c r="E50" s="2">
        <v>45</v>
      </c>
      <c r="F50" s="7" t="str">
        <f>PROPER(IFERROR(SUBSTITUTE(LEFT(Table1[[#This Row],[Email]],SEARCH("@",Table1[[#This Row],[Email]])-1),"."," "),Table1[[#This Row],[Name]]))</f>
        <v>Arjun Singh</v>
      </c>
      <c r="G50" s="3">
        <v>31</v>
      </c>
      <c r="H50" s="2" t="s">
        <v>7</v>
      </c>
      <c r="I50" s="7" t="str">
        <f ca="1">UPPER(Table1[[#This Row],[Department]])</f>
        <v>DATA SCIENCE</v>
      </c>
      <c r="J50" s="2" t="s">
        <v>50</v>
      </c>
      <c r="K50" s="7" t="str">
        <f ca="1">IF(ISNA(Table1[[#This Row],[Phone]]),"",CONCATENATE("91-",MID(Table1[[#This Row],[Phone]],SEARCH("-",Table1[[#This Row],[Phone]])+1,LEN(Table1[[#This Row],[Phone]]))))</f>
        <v>91-8888888797</v>
      </c>
      <c r="L50" s="7" t="str">
        <f ca="1">IF(ISBLANK(Table1[[#This Row],[Address]]),"ADDRESS NOT AVAILABLE",Table1[[#This Row],[Address]])</f>
        <v>ADDRESS NOT AVAILABLE</v>
      </c>
      <c r="M50" s="2">
        <v>3108</v>
      </c>
    </row>
    <row r="51" spans="5:13" x14ac:dyDescent="0.3">
      <c r="E51" s="2">
        <v>46</v>
      </c>
      <c r="F51" s="7" t="str">
        <f>PROPER(IFERROR(SUBSTITUTE(LEFT(Table1[[#This Row],[Email]],SEARCH("@",Table1[[#This Row],[Email]])-1),"."," "),Table1[[#This Row],[Name]]))</f>
        <v>Divya Patel</v>
      </c>
      <c r="G51" s="3">
        <v>27</v>
      </c>
      <c r="H51" s="2" t="s">
        <v>9</v>
      </c>
      <c r="I51" s="7" t="str">
        <f ca="1">UPPER(Table1[[#This Row],[Department]])</f>
        <v>HR</v>
      </c>
      <c r="J51" s="2" t="s">
        <v>51</v>
      </c>
      <c r="K51" s="7" t="str">
        <f ca="1">IF(ISNA(Table1[[#This Row],[Phone]]),"",CONCATENATE("91-",MID(Table1[[#This Row],[Phone]],SEARCH("-",Table1[[#This Row],[Phone]])+1,LEN(Table1[[#This Row],[Phone]]))))</f>
        <v>91-7777777686</v>
      </c>
      <c r="L51" s="7" t="str">
        <f ca="1">IF(ISBLANK(Table1[[#This Row],[Address]]),"ADDRESS NOT AVAILABLE",Table1[[#This Row],[Address]])</f>
        <v>567 38th St, Hyderabad, Telangana, India</v>
      </c>
      <c r="M51" s="2">
        <v>20205</v>
      </c>
    </row>
    <row r="52" spans="5:13" x14ac:dyDescent="0.3">
      <c r="E52" s="2">
        <v>47</v>
      </c>
      <c r="F52" s="7" t="str">
        <f>PROPER(IFERROR(SUBSTITUTE(LEFT(Table1[[#This Row],[Email]],SEARCH("@",Table1[[#This Row],[Email]])-1),"."," "),Table1[[#This Row],[Name]]))</f>
        <v>Gaurav Kumar</v>
      </c>
      <c r="G52" s="3">
        <v>29</v>
      </c>
      <c r="H52" s="2" t="s">
        <v>7</v>
      </c>
      <c r="I52" s="7" t="str">
        <f ca="1">UPPER(Table1[[#This Row],[Department]])</f>
        <v>HR</v>
      </c>
      <c r="J52" s="2" t="s">
        <v>52</v>
      </c>
      <c r="K52" s="7" t="e">
        <f ca="1">IF(ISNA(Table1[[#This Row],[Phone]]),"",CONCATENATE("91-",MID(Table1[[#This Row],[Phone]],SEARCH("-",Table1[[#This Row],[Phone]])+1,LEN(Table1[[#This Row],[Phone]]))))</f>
        <v>#VALUE!</v>
      </c>
      <c r="L52" s="7" t="str">
        <f ca="1">IF(ISBLANK(Table1[[#This Row],[Address]]),"ADDRESS NOT AVAILABLE",Table1[[#This Row],[Address]])</f>
        <v>234 39th St, Pune, Maharashtra, India</v>
      </c>
      <c r="M52" s="2">
        <v>8746</v>
      </c>
    </row>
    <row r="53" spans="5:13" x14ac:dyDescent="0.3">
      <c r="E53" s="2">
        <v>48</v>
      </c>
      <c r="F53" s="7" t="str">
        <f>PROPER(IFERROR(SUBSTITUTE(LEFT(Table1[[#This Row],[Email]],SEARCH("@",Table1[[#This Row],[Email]])-1),"."," "),Table1[[#This Row],[Name]]))</f>
        <v>Aditi Shah</v>
      </c>
      <c r="G53" s="3">
        <v>32</v>
      </c>
      <c r="H53" s="2" t="s">
        <v>9</v>
      </c>
      <c r="I53" s="7" t="str">
        <f ca="1">UPPER(Table1[[#This Row],[Department]])</f>
        <v>IT DEVLOPEMENT</v>
      </c>
      <c r="J53" s="2" t="s">
        <v>53</v>
      </c>
      <c r="K53" s="7" t="str">
        <f ca="1">IF(ISNA(Table1[[#This Row],[Phone]]),"",CONCATENATE("91-",MID(Table1[[#This Row],[Phone]],SEARCH("-",Table1[[#This Row],[Phone]])+1,LEN(Table1[[#This Row],[Phone]]))))</f>
        <v>91-6666666575</v>
      </c>
      <c r="L53" s="7" t="str">
        <f ca="1">IF(ISBLANK(Table1[[#This Row],[Address]]),"ADDRESS NOT AVAILABLE",Table1[[#This Row],[Address]])</f>
        <v>901 40th St, Ahmedabad, Gujarat, India</v>
      </c>
      <c r="M53" s="2">
        <v>15531</v>
      </c>
    </row>
    <row r="54" spans="5:13" x14ac:dyDescent="0.3">
      <c r="E54" s="2">
        <v>49</v>
      </c>
      <c r="F54" s="7" t="str">
        <f>PROPER(IFERROR(SUBSTITUTE(LEFT(Table1[[#This Row],[Email]],SEARCH("@",Table1[[#This Row],[Email]])-1),"."," "),Table1[[#This Row],[Name]]))</f>
        <v>Sandeep Singh</v>
      </c>
      <c r="G54" s="3">
        <v>30</v>
      </c>
      <c r="H54" s="2" t="s">
        <v>7</v>
      </c>
      <c r="I54" s="7" t="str">
        <f ca="1">UPPER(Table1[[#This Row],[Department]])</f>
        <v>SALES</v>
      </c>
      <c r="J54" s="2" t="s">
        <v>54</v>
      </c>
      <c r="K54" s="7" t="str">
        <f ca="1">IF(ISNA(Table1[[#This Row],[Phone]]),"",CONCATENATE("91-",MID(Table1[[#This Row],[Phone]],SEARCH("-",Table1[[#This Row],[Phone]])+1,LEN(Table1[[#This Row],[Phone]]))))</f>
        <v>91-5555555464</v>
      </c>
      <c r="L54" s="7" t="str">
        <f ca="1">IF(ISBLANK(Table1[[#This Row],[Address]]),"ADDRESS NOT AVAILABLE",Table1[[#This Row],[Address]])</f>
        <v>321 41st St, Bangalore, Karnataka, India</v>
      </c>
      <c r="M54" s="2">
        <v>23055</v>
      </c>
    </row>
    <row r="55" spans="5:13" x14ac:dyDescent="0.3">
      <c r="E55" s="2">
        <v>50</v>
      </c>
      <c r="F55" s="7" t="str">
        <f>PROPER(IFERROR(SUBSTITUTE(LEFT(Table1[[#This Row],[Email]],SEARCH("@",Table1[[#This Row],[Email]])-1),"."," "),Table1[[#This Row],[Name]]))</f>
        <v>Shalini Sharma</v>
      </c>
      <c r="G55" s="3">
        <v>30</v>
      </c>
      <c r="H55" s="2" t="s">
        <v>9</v>
      </c>
      <c r="I55" s="7" t="str">
        <f ca="1">UPPER(Table1[[#This Row],[Department]])</f>
        <v>SALES</v>
      </c>
      <c r="J55" s="2" t="s">
        <v>55</v>
      </c>
      <c r="K55" s="7" t="e">
        <f ca="1">IF(ISNA(Table1[[#This Row],[Phone]]),"",CONCATENATE("91-",MID(Table1[[#This Row],[Phone]],SEARCH("-",Table1[[#This Row],[Phone]])+1,LEN(Table1[[#This Row],[Phone]]))))</f>
        <v>#VALUE!</v>
      </c>
      <c r="L55" s="7" t="str">
        <f ca="1">IF(ISBLANK(Table1[[#This Row],[Address]]),"ADDRESS NOT AVAILABLE",Table1[[#This Row],[Address]])</f>
        <v>789 42nd St, Mumbai, Maharashtra, India</v>
      </c>
      <c r="M55" s="2">
        <v>18647</v>
      </c>
    </row>
  </sheetData>
  <conditionalFormatting sqref="E8:M55">
    <cfRule type="expression" dxfId="11" priority="5">
      <formula>$M8&gt;=LARGE($M$8:$M$55, 10)</formula>
    </cfRule>
  </conditionalFormatting>
  <hyperlinks>
    <hyperlink ref="J14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prasad bolgss</cp:lastModifiedBy>
  <dcterms:created xsi:type="dcterms:W3CDTF">2023-04-26T07:21:03Z</dcterms:created>
  <dcterms:modified xsi:type="dcterms:W3CDTF">2023-07-21T12:47:09Z</dcterms:modified>
</cp:coreProperties>
</file>